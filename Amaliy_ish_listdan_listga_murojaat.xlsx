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Mahsulotlar" sheetId="2" state="visible" r:id="rId4"/>
    <sheet name="Buyurtmalar" sheetId="3" state="visible" r:id="rId5"/>
    <sheet name="Bolimlar" sheetId="4" state="visible" r:id="rId6"/>
    <sheet name="Xodimlar" sheetId="5" state="visible" r:id="rId7"/>
    <sheet name="Baholar" sheetId="6" state="visible" r:id="rId8"/>
    <sheet name="Talabal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<sst xmlns="http://schemas.openxmlformats.org/spreadsheetml/2006/main" count="145" uniqueCount="103">
  <si>
    <t xml:space="preserve">AMALIY ISH</t>
  </si>
  <si>
    <t xml:space="preserve">Mavzu: Excelda ro'yxatdan ro'yxatga murojaat qilish (VLOOKUP, INDEX, MATCH)</t>
  </si>
  <si>
    <t xml:space="preserve">Shart: shart operatorlaridan (IF, IFS va h.k.) foydalanilmaydi</t>
  </si>
  <si>
    <t xml:space="preserve">Ishning maqsadi:</t>
  </si>
  <si>
    <t xml:space="preserve">Talaba VLOOKUP va INDEX+MATCH funksiyalari yordamida bitta ro'yxatdagi (asosiy jadval) ma'lumotni kalit ustun (kod, ID) orqali boshqa ro'yxatga (ish jadvali) avtomatik chaqirib olishni o'rganadi. Bunda shart operatorlari (IF, IFS, SWITCH) ishlatilmaydi — faqat qidiruv (lookup) funksiyalaridan foydalaniladi.</t>
  </si>
  <si>
    <t xml:space="preserve">Ishchi varaqlar:</t>
  </si>
  <si>
    <t xml:space="preserve">1-topshiriq  —  'Mahsulotlar' va 'Buyurtmalar' varaqlari</t>
  </si>
  <si>
    <t xml:space="preserve">2-topshiriq  —  'Xodimlar' va 'Bolimlar' varaqlari</t>
  </si>
  <si>
    <t xml:space="preserve">3-topshiriq  —  'Talabalar' va 'Baholar' varaqlari (mustaqil bajarish uchun)</t>
  </si>
  <si>
    <t xml:space="preserve">Ruxsat etilgan funksiyalar:</t>
  </si>
  <si>
    <t xml:space="preserve">VLOOKUP(qidiriladigan_qiymat, jadval, ustun_raqami, 0)</t>
  </si>
  <si>
    <t xml:space="preserve">INDEX(qaytariladigan_diapazon, MATCH(qidiriladigan_qiymat, qidiriladigan_diapazon, 0))</t>
  </si>
  <si>
    <t xml:space="preserve">Bu ikki usul — bir xil natijani beruvchi ikkita xil yo'l. Har bir topshiriqda qaysi usuldan foydalanish ko'rsatilgan.</t>
  </si>
  <si>
    <t xml:space="preserve">TAQIQLANGAN:</t>
  </si>
  <si>
    <t xml:space="preserve">IF, IFS, SWITCH, IFERROR ichidagi shart mantig'i va har qanday shart operatori. Formulalar faqat lookup (qidiruv) funksiyalaridan tuzilishi kerak.</t>
  </si>
  <si>
    <t xml:space="preserve">Ranglar bo'yicha izoh:</t>
  </si>
  <si>
    <t xml:space="preserve">   Ko'k fon — tayyor holda berilgan ma'lumotlar (o'zgartirilmaydi)</t>
  </si>
  <si>
    <t xml:space="preserve">   Sariq fon — talaba formula yozishi kerak bo'lgan kataklar</t>
  </si>
  <si>
    <t xml:space="preserve">Topshirish tartibi:</t>
  </si>
  <si>
    <t xml:space="preserve">Har bir sariq katakka mos formulani yozing, natijalarni tekshiring va faylni saqlab o'qituvchiga topshiring.</t>
  </si>
  <si>
    <t xml:space="preserve">ASOSIY RO'YXAT: Mahsulotlar (narxlar bazasi)</t>
  </si>
  <si>
    <t xml:space="preserve">Kod</t>
  </si>
  <si>
    <t xml:space="preserve">Mahsulot nomi</t>
  </si>
  <si>
    <t xml:space="preserve">O'lchov birligi</t>
  </si>
  <si>
    <t xml:space="preserve">Narxi (so'm)</t>
  </si>
  <si>
    <t xml:space="preserve">M-01</t>
  </si>
  <si>
    <t xml:space="preserve">Noutbuk</t>
  </si>
  <si>
    <t xml:space="preserve">dona</t>
  </si>
  <si>
    <t xml:space="preserve">M-02</t>
  </si>
  <si>
    <t xml:space="preserve">Sichqoncha</t>
  </si>
  <si>
    <t xml:space="preserve">M-03</t>
  </si>
  <si>
    <t xml:space="preserve">Klaviatura</t>
  </si>
  <si>
    <t xml:space="preserve">M-04</t>
  </si>
  <si>
    <t xml:space="preserve">Monitor 24"</t>
  </si>
  <si>
    <t xml:space="preserve">M-05</t>
  </si>
  <si>
    <t xml:space="preserve">Printer</t>
  </si>
  <si>
    <t xml:space="preserve">M-06</t>
  </si>
  <si>
    <t xml:space="preserve">Flash-karta 64GB</t>
  </si>
  <si>
    <t xml:space="preserve">M-07</t>
  </si>
  <si>
    <t xml:space="preserve">Quloqchin</t>
  </si>
  <si>
    <t xml:space="preserve">M-08</t>
  </si>
  <si>
    <t xml:space="preserve">Veb-kamera</t>
  </si>
  <si>
    <t xml:space="preserve">M-09</t>
  </si>
  <si>
    <t xml:space="preserve">Router</t>
  </si>
  <si>
    <t xml:space="preserve">M-10</t>
  </si>
  <si>
    <t xml:space="preserve">External HDD 1TB</t>
  </si>
  <si>
    <t xml:space="preserve">1-TOPSHIRIQ: Buyurtmalar ro'yxati</t>
  </si>
  <si>
    <t xml:space="preserve">Vazifa: 'Kod' ustuni asosida 'Mahsulotlar' varag'idan VLOOKUP funksiyasi bilan mahsulot nomini va narxini chaqiring, so'ngra Summa = Narxi * Soni formulasini yozing.</t>
  </si>
  <si>
    <t xml:space="preserve">Soni</t>
  </si>
  <si>
    <t xml:space="preserve">Summa (so'm)</t>
  </si>
  <si>
    <t xml:space="preserve">Jami:</t>
  </si>
  <si>
    <t xml:space="preserve">ASOSIY RO'YXAT: Bo'limlar</t>
  </si>
  <si>
    <t xml:space="preserve">Bolim kodi</t>
  </si>
  <si>
    <t xml:space="preserve">Bolim nomi</t>
  </si>
  <si>
    <t xml:space="preserve">Rahbari</t>
  </si>
  <si>
    <t xml:space="preserve">B-1</t>
  </si>
  <si>
    <t xml:space="preserve">Buxgalteriya</t>
  </si>
  <si>
    <t xml:space="preserve">Karimova N.</t>
  </si>
  <si>
    <t xml:space="preserve">B-2</t>
  </si>
  <si>
    <t xml:space="preserve">IT bo'limi</t>
  </si>
  <si>
    <t xml:space="preserve">Yusupov D.</t>
  </si>
  <si>
    <t xml:space="preserve">B-3</t>
  </si>
  <si>
    <t xml:space="preserve">Marketing</t>
  </si>
  <si>
    <t xml:space="preserve">Rashidova M.</t>
  </si>
  <si>
    <t xml:space="preserve">B-4</t>
  </si>
  <si>
    <t xml:space="preserve">Kadrlar bo'limi</t>
  </si>
  <si>
    <t xml:space="preserve">Aliyev S.</t>
  </si>
  <si>
    <t xml:space="preserve">B-5</t>
  </si>
  <si>
    <t xml:space="preserve">Sotuv bo'limi</t>
  </si>
  <si>
    <t xml:space="preserve">Tosheva G.</t>
  </si>
  <si>
    <t xml:space="preserve">2-TOPSHIRIQ: Xodimlar ro'yxati</t>
  </si>
  <si>
    <t xml:space="preserve">Vazifa: 'Bolim kodi' asosida 'Bolimlar' varag'idan INDEX+MATCH funksiyalari bilan bo'lim nomini va rahbarini chaqiring (VLOOKUP EMAS).</t>
  </si>
  <si>
    <t xml:space="preserve">F.I.Sh.</t>
  </si>
  <si>
    <t xml:space="preserve">Bolim rahbari</t>
  </si>
  <si>
    <t xml:space="preserve">Nazarov Jasur</t>
  </si>
  <si>
    <t xml:space="preserve">Ergasheva Nilufar</t>
  </si>
  <si>
    <t xml:space="preserve">Qodirov Bekzod</t>
  </si>
  <si>
    <t xml:space="preserve">Yoldasheva Sevara</t>
  </si>
  <si>
    <t xml:space="preserve">Rustamov Ikrom</t>
  </si>
  <si>
    <t xml:space="preserve">Ismoilova Dilnoza</t>
  </si>
  <si>
    <t xml:space="preserve">ASOSIY RO'YXAT: Talabalar bazasi</t>
  </si>
  <si>
    <t xml:space="preserve">Talaba ID</t>
  </si>
  <si>
    <t xml:space="preserve">Guruh</t>
  </si>
  <si>
    <t xml:space="preserve">O'rtacha ball</t>
  </si>
  <si>
    <t xml:space="preserve">T-101</t>
  </si>
  <si>
    <t xml:space="preserve">Sobirova Malika</t>
  </si>
  <si>
    <t xml:space="preserve">204-21</t>
  </si>
  <si>
    <t xml:space="preserve">T-102</t>
  </si>
  <si>
    <t xml:space="preserve">Xolmatov Otabek</t>
  </si>
  <si>
    <t xml:space="preserve">T-103</t>
  </si>
  <si>
    <t xml:space="preserve">Berdiyeva Zarina</t>
  </si>
  <si>
    <t xml:space="preserve">205-21</t>
  </si>
  <si>
    <t xml:space="preserve">T-104</t>
  </si>
  <si>
    <t xml:space="preserve">Umarov Shoxrux</t>
  </si>
  <si>
    <t xml:space="preserve">T-105</t>
  </si>
  <si>
    <t xml:space="preserve">Nabieva Kamola</t>
  </si>
  <si>
    <t xml:space="preserve">T-106</t>
  </si>
  <si>
    <t xml:space="preserve">Tursunov Alisher</t>
  </si>
  <si>
    <t xml:space="preserve">206-21</t>
  </si>
  <si>
    <t xml:space="preserve">T-107</t>
  </si>
  <si>
    <t xml:space="preserve">Yusupova Madina</t>
  </si>
  <si>
    <t xml:space="preserve">3-TOPSHIRIQ (mustaqil): Tanlangan talabalar ro'yxati</t>
  </si>
  <si>
    <t xml:space="preserve">Vazifa: 'Talaba ID' asosida 'Baholar' varag'idan F.I.Sh., Guruh va O'rtacha ballni mustaqil ravishda VLOOKUP yoki INDEX+MATCH bilan to'ldiring (usulni o'zingiz tanlang).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</si>
</sst>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1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39.55" hidden="false" customHeight="false" outlineLevel="0" collapsed="false">
      <c r="B7" s="5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5" t="s">
        <v>11</v>
      </c>
    </row>
    <row r="17" customFormat="false" ht="26.85" hidden="false" customHeight="false" outlineLevel="0" collapsed="false">
      <c r="B17" s="5" t="s">
        <v>12</v>
      </c>
    </row>
    <row r="19" customFormat="false" ht="15" hidden="false" customHeight="false" outlineLevel="0" collapsed="false">
      <c r="B19" s="6" t="s">
        <v>13</v>
      </c>
    </row>
    <row r="20" customFormat="false" ht="26.85" hidden="false" customHeight="false" outlineLevel="0" collapsed="false">
      <c r="B20" s="7" t="s">
        <v>14</v>
      </c>
    </row>
    <row r="22" customFormat="false" ht="1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8" t="s">
        <v>16</v>
      </c>
    </row>
    <row r="24" customFormat="false" ht="15" hidden="false" customHeight="false" outlineLevel="0" collapsed="false">
      <c r="B24" s="9" t="s">
        <v>17</v>
      </c>
    </row>
    <row r="26" customFormat="false" ht="15" hidden="false" customHeight="false" outlineLevel="0" collapsed="false">
      <c r="B26" s="4" t="s">
        <v>18</v>
      </c>
    </row>
    <row r="27" customFormat="false" ht="15" hidden="false" customHeight="false" outlineLevel="0" collapsed="false">
      <c r="B27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6.15" hidden="false" customHeight="false" outlineLevel="0" collapsed="false">
      <c r="A1" s="10" t="s">
        <v>20</v>
      </c>
      <c r="B1" s="10"/>
      <c r="C1" s="10"/>
      <c r="D1" s="10"/>
    </row>
    <row r="3" customFormat="false" ht="15" hidden="false" customHeight="false" outlineLevel="0" collapsed="false">
      <c r="A3" s="11" t="s">
        <v>21</v>
      </c>
      <c r="B3" s="11" t="s">
        <v>22</v>
      </c>
      <c r="C3" s="11" t="s">
        <v>23</v>
      </c>
      <c r="D3" s="11" t="s">
        <v>24</v>
      </c>
    </row>
    <row r="4" customFormat="false" ht="15" hidden="false" customHeight="false" outlineLevel="0" collapsed="false">
      <c r="A4" s="12" t="s">
        <v>25</v>
      </c>
      <c r="B4" s="12" t="s">
        <v>26</v>
      </c>
      <c r="C4" s="12" t="s">
        <v>27</v>
      </c>
      <c r="D4" s="13" t="n">
        <v>9500000</v>
      </c>
    </row>
    <row r="5" customFormat="false" ht="15" hidden="false" customHeight="false" outlineLevel="0" collapsed="false">
      <c r="A5" s="12" t="s">
        <v>28</v>
      </c>
      <c r="B5" s="12" t="s">
        <v>29</v>
      </c>
      <c r="C5" s="12" t="s">
        <v>27</v>
      </c>
      <c r="D5" s="13" t="n">
        <v>85000</v>
      </c>
    </row>
    <row r="6" customFormat="false" ht="15" hidden="false" customHeight="false" outlineLevel="0" collapsed="false">
      <c r="A6" s="12" t="s">
        <v>30</v>
      </c>
      <c r="B6" s="12" t="s">
        <v>31</v>
      </c>
      <c r="C6" s="12" t="s">
        <v>27</v>
      </c>
      <c r="D6" s="13" t="n">
        <v>120000</v>
      </c>
    </row>
    <row r="7" customFormat="false" ht="15" hidden="false" customHeight="false" outlineLevel="0" collapsed="false">
      <c r="A7" s="12" t="s">
        <v>32</v>
      </c>
      <c r="B7" s="12" t="s">
        <v>33</v>
      </c>
      <c r="C7" s="12" t="s">
        <v>27</v>
      </c>
      <c r="D7" s="13" t="n">
        <v>1800000</v>
      </c>
    </row>
    <row r="8" customFormat="false" ht="15" hidden="false" customHeight="false" outlineLevel="0" collapsed="false">
      <c r="A8" s="12" t="s">
        <v>34</v>
      </c>
      <c r="B8" s="12" t="s">
        <v>35</v>
      </c>
      <c r="C8" s="12" t="s">
        <v>27</v>
      </c>
      <c r="D8" s="13" t="n">
        <v>2100000</v>
      </c>
    </row>
    <row r="9" customFormat="false" ht="15" hidden="false" customHeight="false" outlineLevel="0" collapsed="false">
      <c r="A9" s="12" t="s">
        <v>36</v>
      </c>
      <c r="B9" s="12" t="s">
        <v>37</v>
      </c>
      <c r="C9" s="12" t="s">
        <v>27</v>
      </c>
      <c r="D9" s="13" t="n">
        <v>65000</v>
      </c>
    </row>
    <row r="10" customFormat="false" ht="15" hidden="false" customHeight="false" outlineLevel="0" collapsed="false">
      <c r="A10" s="12" t="s">
        <v>38</v>
      </c>
      <c r="B10" s="12" t="s">
        <v>39</v>
      </c>
      <c r="C10" s="12" t="s">
        <v>27</v>
      </c>
      <c r="D10" s="13" t="n">
        <v>150000</v>
      </c>
    </row>
    <row r="11" customFormat="false" ht="15" hidden="false" customHeight="false" outlineLevel="0" collapsed="false">
      <c r="A11" s="12" t="s">
        <v>40</v>
      </c>
      <c r="B11" s="12" t="s">
        <v>41</v>
      </c>
      <c r="C11" s="12" t="s">
        <v>27</v>
      </c>
      <c r="D11" s="13" t="n">
        <v>220000</v>
      </c>
    </row>
    <row r="12" customFormat="false" ht="15" hidden="false" customHeight="false" outlineLevel="0" collapsed="false">
      <c r="A12" s="12" t="s">
        <v>42</v>
      </c>
      <c r="B12" s="12" t="s">
        <v>43</v>
      </c>
      <c r="C12" s="12" t="s">
        <v>27</v>
      </c>
      <c r="D12" s="13" t="n">
        <v>480000</v>
      </c>
    </row>
    <row r="13" customFormat="false" ht="15" hidden="false" customHeight="false" outlineLevel="0" collapsed="false">
      <c r="A13" s="12" t="s">
        <v>44</v>
      </c>
      <c r="B13" s="12" t="s">
        <v>45</v>
      </c>
      <c r="C13" s="12" t="s">
        <v>27</v>
      </c>
      <c r="D13" s="13" t="n">
        <v>650000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0" t="s">
        <v>46</v>
      </c>
      <c r="B1" s="10"/>
      <c r="C1" s="10"/>
      <c r="D1" s="10"/>
      <c r="E1" s="10"/>
    </row>
    <row r="2" customFormat="false" ht="30" hidden="false" customHeight="true" outlineLevel="0" collapsed="false">
      <c r="A2" s="14" t="s">
        <v>47</v>
      </c>
      <c r="B2" s="14"/>
      <c r="C2" s="14"/>
      <c r="D2" s="14"/>
      <c r="E2" s="14"/>
    </row>
    <row r="4" customFormat="false" ht="15" hidden="false" customHeight="false" outlineLevel="0" collapsed="false">
      <c r="A4" s="11" t="s">
        <v>21</v>
      </c>
      <c r="B4" s="11" t="s">
        <v>22</v>
      </c>
      <c r="C4" s="11" t="s">
        <v>24</v>
      </c>
      <c r="D4" s="11" t="s">
        <v>48</v>
      </c>
      <c r="E4" s="11" t="s">
        <v>49</v>
      </c>
    </row>
    <row r="5" customFormat="false" ht="15" hidden="false" customHeight="false" outlineLevel="0" collapsed="false">
      <c r="A5" s="12" t="s">
        <v>30</v>
      </c>
      <c r="B5" s="15" t="str">
        <f aca="false">VLOOKUP(A5,Mahsulotlar!$A$4:$D$13,2,0)</f>
        <v>Klaviatura</v>
      </c>
      <c r="C5" s="16" t="n">
        <f aca="false">VLOOKUP(A5,Mahsulotlar!$A$4:$D$13,4,0)</f>
        <v>120000</v>
      </c>
      <c r="D5" s="12" t="n">
        <v>5</v>
      </c>
      <c r="E5" s="16" t="n">
        <f aca="false">C5*D5</f>
        <v>600000</v>
      </c>
    </row>
    <row r="6" customFormat="false" ht="15" hidden="false" customHeight="false" outlineLevel="0" collapsed="false">
      <c r="A6" s="12" t="s">
        <v>25</v>
      </c>
      <c r="B6" s="15" t="str">
        <f aca="false">VLOOKUP(A6,Mahsulotlar!$A$4:$D$13,2,0)</f>
        <v>Noutbuk</v>
      </c>
      <c r="C6" s="16" t="n">
        <f aca="false">VLOOKUP(A6,Mahsulotlar!$A$4:$D$13,4,0)</f>
        <v>9500000</v>
      </c>
      <c r="D6" s="12" t="n">
        <v>2</v>
      </c>
      <c r="E6" s="16" t="n">
        <f aca="false">C6*D6</f>
        <v>19000000</v>
      </c>
    </row>
    <row r="7" customFormat="false" ht="15" hidden="false" customHeight="false" outlineLevel="0" collapsed="false">
      <c r="A7" s="12" t="s">
        <v>38</v>
      </c>
      <c r="B7" s="15" t="str">
        <f aca="false">VLOOKUP(A7,Mahsulotlar!$A$4:$D$13,2,0)</f>
        <v>Quloqchin</v>
      </c>
      <c r="C7" s="16" t="n">
        <f aca="false">VLOOKUP(A7,Mahsulotlar!$A$4:$D$13,4,0)</f>
        <v>150000</v>
      </c>
      <c r="D7" s="12" t="n">
        <v>10</v>
      </c>
      <c r="E7" s="16" t="n">
        <f aca="false">C7*D7</f>
        <v>1500000</v>
      </c>
    </row>
    <row r="8" customFormat="false" ht="15" hidden="false" customHeight="false" outlineLevel="0" collapsed="false">
      <c r="A8" s="12" t="s">
        <v>34</v>
      </c>
      <c r="B8" s="15" t="str">
        <f aca="false">VLOOKUP(A8,Mahsulotlar!$A$4:$D$13,2,0)</f>
        <v>Printer</v>
      </c>
      <c r="C8" s="16" t="n">
        <f aca="false">VLOOKUP(A8,Mahsulotlar!$A$4:$D$13,4,0)</f>
        <v>2100000</v>
      </c>
      <c r="D8" s="12" t="n">
        <v>1</v>
      </c>
      <c r="E8" s="16" t="n">
        <f aca="false">C8*D8</f>
        <v>2100000</v>
      </c>
    </row>
    <row r="9" customFormat="false" ht="15" hidden="false" customHeight="false" outlineLevel="0" collapsed="false">
      <c r="A9" s="12" t="s">
        <v>42</v>
      </c>
      <c r="B9" s="15" t="str">
        <f aca="false">VLOOKUP(A9,Mahsulotlar!$A$4:$D$13,2,0)</f>
        <v>Router</v>
      </c>
      <c r="C9" s="16" t="n">
        <f aca="false">VLOOKUP(A9,Mahsulotlar!$A$4:$D$13,4,0)</f>
        <v>480000</v>
      </c>
      <c r="D9" s="12" t="n">
        <v>3</v>
      </c>
      <c r="E9" s="16" t="n">
        <f aca="false">C9*D9</f>
        <v>1440000</v>
      </c>
    </row>
    <row r="10" customFormat="false" ht="15" hidden="false" customHeight="false" outlineLevel="0" collapsed="false">
      <c r="A10" s="12" t="s">
        <v>28</v>
      </c>
      <c r="B10" s="15" t="str">
        <f aca="false">VLOOKUP(A10,Mahsulotlar!$A$4:$D$13,2,0)</f>
        <v>Sichqoncha</v>
      </c>
      <c r="C10" s="16" t="n">
        <f aca="false">VLOOKUP(A10,Mahsulotlar!$A$4:$D$13,4,0)</f>
        <v>85000</v>
      </c>
      <c r="D10" s="12" t="n">
        <v>15</v>
      </c>
      <c r="E10" s="16" t="n">
        <f aca="false">C10*D10</f>
        <v>1275000</v>
      </c>
    </row>
    <row r="11" customFormat="false" ht="15" hidden="false" customHeight="false" outlineLevel="0" collapsed="false">
      <c r="A11" s="12" t="s">
        <v>44</v>
      </c>
      <c r="B11" s="15" t="str">
        <f aca="false">VLOOKUP(A11,Mahsulotlar!$A$4:$D$13,2,0)</f>
        <v>External HDD 1TB</v>
      </c>
      <c r="C11" s="16" t="n">
        <f aca="false">VLOOKUP(A11,Mahsulotlar!$A$4:$D$13,4,0)</f>
        <v>650000</v>
      </c>
      <c r="D11" s="12" t="n">
        <v>4</v>
      </c>
      <c r="E11" s="16" t="n">
        <f aca="false">C11*D11</f>
        <v>2600000</v>
      </c>
    </row>
    <row r="12" customFormat="false" ht="15" hidden="false" customHeight="false" outlineLevel="0" collapsed="false">
      <c r="A12" s="12" t="s">
        <v>32</v>
      </c>
      <c r="B12" s="15" t="str">
        <f aca="false">VLOOKUP(A12,Mahsulotlar!$A$4:$D$13,2,0)</f>
        <v>Monitor 24"</v>
      </c>
      <c r="C12" s="16" t="n">
        <f aca="false">VLOOKUP(A12,Mahsulotlar!$A$4:$D$13,4,0)</f>
        <v>1800000</v>
      </c>
      <c r="D12" s="12" t="n">
        <v>2</v>
      </c>
      <c r="E12" s="16" t="n">
        <f aca="false">C12*D12</f>
        <v>3600000</v>
      </c>
    </row>
    <row r="13" customFormat="false" ht="15" hidden="false" customHeight="false" outlineLevel="0" collapsed="false">
      <c r="D13" s="17" t="s">
        <v>50</v>
      </c>
      <c r="E13" s="18" t="n">
        <f aca="false">SUM(E5:E12)</f>
        <v>32115000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</cols>
  <sheetData>
    <row r="1" customFormat="false" ht="16.15" hidden="false" customHeight="false" outlineLevel="0" collapsed="false">
      <c r="A1" s="10" t="s">
        <v>51</v>
      </c>
      <c r="B1" s="10"/>
      <c r="C1" s="10"/>
    </row>
    <row r="3" customFormat="false" ht="15" hidden="false" customHeight="false" outlineLevel="0" collapsed="false">
      <c r="A3" s="11" t="s">
        <v>52</v>
      </c>
      <c r="B3" s="11" t="s">
        <v>53</v>
      </c>
      <c r="C3" s="11" t="s">
        <v>54</v>
      </c>
    </row>
    <row r="4" customFormat="false" ht="15" hidden="false" customHeight="false" outlineLevel="0" collapsed="false">
      <c r="A4" s="12" t="s">
        <v>55</v>
      </c>
      <c r="B4" s="12" t="s">
        <v>56</v>
      </c>
      <c r="C4" s="12" t="s">
        <v>57</v>
      </c>
    </row>
    <row r="5" customFormat="false" ht="15" hidden="false" customHeight="false" outlineLevel="0" collapsed="false">
      <c r="A5" s="12" t="s">
        <v>58</v>
      </c>
      <c r="B5" s="12" t="s">
        <v>59</v>
      </c>
      <c r="C5" s="12" t="s">
        <v>60</v>
      </c>
    </row>
    <row r="6" customFormat="false" ht="15" hidden="false" customHeight="false" outlineLevel="0" collapsed="false">
      <c r="A6" s="12" t="s">
        <v>61</v>
      </c>
      <c r="B6" s="12" t="s">
        <v>62</v>
      </c>
      <c r="C6" s="12" t="s">
        <v>63</v>
      </c>
    </row>
    <row r="7" customFormat="false" ht="15" hidden="false" customHeight="false" outlineLevel="0" collapsed="false">
      <c r="A7" s="12" t="s">
        <v>64</v>
      </c>
      <c r="B7" s="12" t="s">
        <v>65</v>
      </c>
      <c r="C7" s="12" t="s">
        <v>66</v>
      </c>
    </row>
    <row r="8" customFormat="false" ht="15" hidden="false" customHeight="false" outlineLevel="0" collapsed="false">
      <c r="A8" s="12" t="s">
        <v>67</v>
      </c>
      <c r="B8" s="12" t="s">
        <v>68</v>
      </c>
      <c r="C8" s="12" t="s">
        <v>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0" t="s">
        <v>70</v>
      </c>
      <c r="B1" s="10"/>
      <c r="C1" s="10"/>
      <c r="D1" s="10"/>
    </row>
    <row r="2" customFormat="false" ht="30" hidden="false" customHeight="true" outlineLevel="0" collapsed="false">
      <c r="A2" s="14" t="s">
        <v>71</v>
      </c>
      <c r="B2" s="14"/>
      <c r="C2" s="14"/>
      <c r="D2" s="14"/>
    </row>
    <row r="4" customFormat="false" ht="15" hidden="false" customHeight="false" outlineLevel="0" collapsed="false">
      <c r="A4" s="11" t="s">
        <v>72</v>
      </c>
      <c r="B4" s="11" t="s">
        <v>52</v>
      </c>
      <c r="C4" s="11" t="s">
        <v>53</v>
      </c>
      <c r="D4" s="11" t="s">
        <v>73</v>
      </c>
    </row>
    <row r="5" customFormat="false" ht="15" hidden="false" customHeight="false" outlineLevel="0" collapsed="false">
      <c r="A5" s="12" t="s">
        <v>74</v>
      </c>
      <c r="B5" s="12" t="s">
        <v>58</v>
      </c>
      <c r="C5" s="15" t="str">
        <f aca="false">INDEX(Bolimlar!$B$4:$B$8,MATCH(B5,Bolimlar!$A$4:$A$8,0))</f>
        <v>IT bo'limi</v>
      </c>
      <c r="D5" s="15" t="str">
        <f aca="false">INDEX(Bolimlar!$C$4:$C$8,MATCH(B5,Bolimlar!$A$4:$A$8,0))</f>
        <v>Yusupov D.</v>
      </c>
    </row>
    <row r="6" customFormat="false" ht="15" hidden="false" customHeight="false" outlineLevel="0" collapsed="false">
      <c r="A6" s="12" t="s">
        <v>75</v>
      </c>
      <c r="B6" s="12" t="s">
        <v>55</v>
      </c>
      <c r="C6" s="15" t="str">
        <f aca="false">INDEX(Bolimlar!$B$4:$B$8,MATCH(B6,Bolimlar!$A$4:$A$8,0))</f>
        <v>Buxgalteriya</v>
      </c>
      <c r="D6" s="15" t="str">
        <f aca="false">INDEX(Bolimlar!$C$4:$C$8,MATCH(B6,Bolimlar!$A$4:$A$8,0))</f>
        <v>Karimova N.</v>
      </c>
    </row>
    <row r="7" customFormat="false" ht="15" hidden="false" customHeight="false" outlineLevel="0" collapsed="false">
      <c r="A7" s="12" t="s">
        <v>76</v>
      </c>
      <c r="B7" s="12" t="s">
        <v>61</v>
      </c>
      <c r="C7" s="15" t="str">
        <f aca="false">INDEX(Bolimlar!$B$4:$B$8,MATCH(B7,Bolimlar!$A$4:$A$8,0))</f>
        <v>Marketing</v>
      </c>
      <c r="D7" s="15" t="str">
        <f aca="false">INDEX(Bolimlar!$C$4:$C$8,MATCH(B7,Bolimlar!$A$4:$A$8,0))</f>
        <v>Rashidova M.</v>
      </c>
    </row>
    <row r="8" customFormat="false" ht="15" hidden="false" customHeight="false" outlineLevel="0" collapsed="false">
      <c r="A8" s="12" t="s">
        <v>77</v>
      </c>
      <c r="B8" s="12" t="s">
        <v>67</v>
      </c>
      <c r="C8" s="15" t="str">
        <f aca="false">INDEX(Bolimlar!$B$4:$B$8,MATCH(B8,Bolimlar!$A$4:$A$8,0))</f>
        <v>Sotuv bo'limi</v>
      </c>
      <c r="D8" s="15" t="str">
        <f aca="false">INDEX(Bolimlar!$C$4:$C$8,MATCH(B8,Bolimlar!$A$4:$A$8,0))</f>
        <v>Tosheva G.</v>
      </c>
    </row>
    <row r="9" customFormat="false" ht="15" hidden="false" customHeight="false" outlineLevel="0" collapsed="false">
      <c r="A9" s="12" t="s">
        <v>78</v>
      </c>
      <c r="B9" s="12" t="s">
        <v>64</v>
      </c>
      <c r="C9" s="15" t="str">
        <f aca="false">INDEX(Bolimlar!$B$4:$B$8,MATCH(B9,Bolimlar!$A$4:$A$8,0))</f>
        <v>Kadrlar bo'limi</v>
      </c>
      <c r="D9" s="15" t="str">
        <f aca="false">INDEX(Bolimlar!$C$4:$C$8,MATCH(B9,Bolimlar!$A$4:$A$8,0))</f>
        <v>Aliyev S.</v>
      </c>
    </row>
    <row r="10" customFormat="false" ht="15" hidden="false" customHeight="false" outlineLevel="0" collapsed="false">
      <c r="A10" s="12" t="s">
        <v>79</v>
      </c>
      <c r="B10" s="12" t="s">
        <v>58</v>
      </c>
      <c r="C10" s="15" t="str">
        <f aca="false">INDEX(Bolimlar!$B$4:$B$8,MATCH(B10,Bolimlar!$A$4:$A$8,0))</f>
        <v>IT bo'limi</v>
      </c>
      <c r="D10" s="15" t="str">
        <f aca="false">INDEX(Bolimlar!$C$4:$C$8,MATCH(B10,Bolimlar!$A$4:$A$8,0))</f>
        <v>Yusupov D.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0" t="s">
        <v>80</v>
      </c>
      <c r="B1" s="10"/>
      <c r="C1" s="10"/>
      <c r="D1" s="10"/>
    </row>
    <row r="3" customFormat="false" ht="15" hidden="false" customHeight="false" outlineLevel="0" collapsed="false">
      <c r="A3" s="11" t="s">
        <v>81</v>
      </c>
      <c r="B3" s="11" t="s">
        <v>72</v>
      </c>
      <c r="C3" s="11" t="s">
        <v>82</v>
      </c>
      <c r="D3" s="11" t="s">
        <v>83</v>
      </c>
    </row>
    <row r="4" customFormat="false" ht="15" hidden="false" customHeight="false" outlineLevel="0" collapsed="false">
      <c r="A4" s="12" t="s">
        <v>84</v>
      </c>
      <c r="B4" s="12" t="s">
        <v>85</v>
      </c>
      <c r="C4" s="12" t="s">
        <v>86</v>
      </c>
      <c r="D4" s="19" t="n">
        <v>4.6</v>
      </c>
    </row>
    <row r="5" customFormat="false" ht="15" hidden="false" customHeight="false" outlineLevel="0" collapsed="false">
      <c r="A5" s="12" t="s">
        <v>87</v>
      </c>
      <c r="B5" s="12" t="s">
        <v>88</v>
      </c>
      <c r="C5" s="12" t="s">
        <v>86</v>
      </c>
      <c r="D5" s="19" t="n">
        <v>3.9</v>
      </c>
    </row>
    <row r="6" customFormat="false" ht="15" hidden="false" customHeight="false" outlineLevel="0" collapsed="false">
      <c r="A6" s="12" t="s">
        <v>89</v>
      </c>
      <c r="B6" s="12" t="s">
        <v>90</v>
      </c>
      <c r="C6" s="12" t="s">
        <v>91</v>
      </c>
      <c r="D6" s="19" t="n">
        <v>4.2</v>
      </c>
    </row>
    <row r="7" customFormat="false" ht="15" hidden="false" customHeight="false" outlineLevel="0" collapsed="false">
      <c r="A7" s="12" t="s">
        <v>92</v>
      </c>
      <c r="B7" s="12" t="s">
        <v>93</v>
      </c>
      <c r="C7" s="12" t="s">
        <v>91</v>
      </c>
      <c r="D7" s="19" t="n">
        <v>3.5</v>
      </c>
    </row>
    <row r="8" customFormat="false" ht="15" hidden="false" customHeight="false" outlineLevel="0" collapsed="false">
      <c r="A8" s="12" t="s">
        <v>94</v>
      </c>
      <c r="B8" s="12" t="s">
        <v>95</v>
      </c>
      <c r="C8" s="12" t="s">
        <v>86</v>
      </c>
      <c r="D8" s="19" t="n">
        <v>4.8</v>
      </c>
    </row>
    <row r="9" customFormat="false" ht="15" hidden="false" customHeight="false" outlineLevel="0" collapsed="false">
      <c r="A9" s="12" t="s">
        <v>96</v>
      </c>
      <c r="B9" s="12" t="s">
        <v>97</v>
      </c>
      <c r="C9" s="12" t="s">
        <v>98</v>
      </c>
      <c r="D9" s="19" t="n">
        <v>4</v>
      </c>
    </row>
    <row r="10" customFormat="false" ht="15" hidden="false" customHeight="false" outlineLevel="0" collapsed="false">
      <c r="A10" s="12" t="s">
        <v>99</v>
      </c>
      <c r="B10" s="12" t="s">
        <v>100</v>
      </c>
      <c r="C10" s="12" t="s">
        <v>98</v>
      </c>
      <c r="D10" s="19" t="n">
        <v>3.7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0" t="s">
        <v>101</v>
      </c>
      <c r="B1" s="10"/>
      <c r="C1" s="10"/>
      <c r="D1" s="10"/>
    </row>
    <row r="2" customFormat="false" ht="30" hidden="false" customHeight="true" outlineLevel="0" collapsed="false">
      <c r="A2" s="14" t="s">
        <v>102</v>
      </c>
      <c r="B2" s="14"/>
      <c r="C2" s="14"/>
      <c r="D2" s="14"/>
    </row>
    <row r="4" customFormat="false" ht="15" hidden="false" customHeight="false" outlineLevel="0" collapsed="false">
      <c r="A4" s="11" t="s">
        <v>81</v>
      </c>
      <c r="B4" s="11" t="s">
        <v>72</v>
      </c>
      <c r="C4" s="11" t="s">
        <v>82</v>
      </c>
      <c r="D4" s="11" t="s">
        <v>83</v>
      </c>
    </row>
    <row r="5" customFormat="false" ht="15" hidden="false" customHeight="false" outlineLevel="0" collapsed="false">
      <c r="A5" s="12" t="s">
        <v>92</v>
      </c>
      <c r="B5" s="15"/>
      <c r="C5" s="15"/>
      <c r="D5" s="15"/>
    </row>
    <row r="6" customFormat="false" ht="15" hidden="false" customHeight="false" outlineLevel="0" collapsed="false">
      <c r="A6" s="12" t="s">
        <v>84</v>
      </c>
      <c r="B6" s="15"/>
      <c r="C6" s="15"/>
      <c r="D6" s="15"/>
    </row>
    <row r="7" customFormat="false" ht="15" hidden="false" customHeight="false" outlineLevel="0" collapsed="false">
      <c r="A7" s="12" t="s">
        <v>99</v>
      </c>
      <c r="B7" s="15"/>
      <c r="C7" s="15"/>
      <c r="D7" s="15"/>
    </row>
    <row r="8" customFormat="false" ht="15" hidden="false" customHeight="false" outlineLevel="0" collapsed="false">
      <c r="A8" s="12" t="s">
        <v>87</v>
      </c>
      <c r="B8" s="15"/>
      <c r="C8" s="15"/>
      <c r="D8" s="15"/>
    </row>
    <row r="9" customFormat="false" ht="15" hidden="false" customHeight="false" outlineLevel="0" collapsed="false">
      <c r="A9" s="12" t="s">
        <v>94</v>
      </c>
      <c r="B9" s="15"/>
      <c r="C9" s="15"/>
      <c r="D9" s="1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2026-09-15T04:14:28Z</dcterms:created>
  <dc:creator>openpyxl</dc:creator>
  <dc:description/>
  <dc:language>en-US</dc:language>
  <cp:lastModifiedBy/>
  <dcterms:modified xsi:type="dcterms:W3CDTF">2026-09-15T04:14:28Z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